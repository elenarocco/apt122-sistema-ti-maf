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Defectos" sheetId="3" state="visible" r:id="rId3"/>
  </sheets>
  <definedNames>
    <definedName name="_xlnm._FilterDatabase" localSheetId="0" hidden="1">'Seguimiento'!$A$4:$K$44</definedName>
    <definedName name="_xlnm.Print_Titles" localSheetId="0">'Seguimiento'!$4:$4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  <color rgb="001F3864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center" vertical="top"/>
    </xf>
    <xf numFmtId="0" fontId="5" fillId="0" borderId="0" pivotButton="0" quotePrefix="0" xfId="0"/>
    <xf numFmtId="9" fontId="0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5" fillId="0" borderId="1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38" customWidth="1" min="3" max="3"/>
    <col width="38" customWidth="1" min="4" max="4"/>
    <col width="12" customWidth="1" min="5" max="5"/>
    <col width="13" customWidth="1" min="6" max="6"/>
    <col width="15" customWidth="1" min="7" max="7"/>
    <col width="20" customWidth="1" min="8" max="8"/>
    <col width="52" customWidth="1" min="9" max="9"/>
    <col width="14" customWidth="1" min="10" max="10"/>
    <col width="12" customWidth="1" min="11" max="11"/>
  </cols>
  <sheetData>
    <row r="1">
      <c r="A1" s="1" t="inlineStr">
        <is>
          <t>Seguimiento de casos de prueba · Sistema de Gestión de Solicitudes de Usuario TI — MAF Chile · Fase 2</t>
        </is>
      </c>
    </row>
    <row r="2">
      <c r="A2" s="2" t="inlineStr">
        <is>
          <t>Corte: 15-10-2026. Fuente: Plan y Casos de Prueba y Anexo de evidencia de ejecución.</t>
        </is>
      </c>
    </row>
    <row r="4">
      <c r="A4" s="3" t="inlineStr">
        <is>
          <t>ID</t>
        </is>
      </c>
      <c r="B4" s="3" t="inlineStr">
        <is>
          <t>Módulo</t>
        </is>
      </c>
      <c r="C4" s="3" t="inlineStr">
        <is>
          <t>Caso de prueba</t>
        </is>
      </c>
      <c r="D4" s="3" t="inlineStr">
        <is>
          <t>Resultado esperado</t>
        </is>
      </c>
      <c r="E4" s="3" t="inlineStr">
        <is>
          <t>Crítico (automatizar)</t>
        </is>
      </c>
      <c r="F4" s="3" t="inlineStr">
        <is>
          <t>Fecha de ejecución</t>
        </is>
      </c>
      <c r="G4" s="3" t="inlineStr">
        <is>
          <t>Responsable</t>
        </is>
      </c>
      <c r="H4" s="3" t="inlineStr">
        <is>
          <t>Estado</t>
        </is>
      </c>
      <c r="I4" s="3" t="inlineStr">
        <is>
          <t>Resultado obtenido / observación</t>
        </is>
      </c>
      <c r="J4" s="3" t="inlineStr">
        <is>
          <t>Evidencia (Anexo)</t>
        </is>
      </c>
      <c r="K4" s="3" t="inlineStr">
        <is>
          <t>Defecto asociado</t>
        </is>
      </c>
    </row>
    <row r="5">
      <c r="A5" s="4" t="inlineStr">
        <is>
          <t>CP-01</t>
        </is>
      </c>
      <c r="B5" s="5" t="inlineStr">
        <is>
          <t>Ingreso</t>
        </is>
      </c>
      <c r="C5" s="5" t="inlineStr">
        <is>
          <t>Enviar formulario con campo obligatorio vacío</t>
        </is>
      </c>
      <c r="D5" s="5" t="inlineStr">
        <is>
          <t>Rechaza el envío y marca el campo faltante</t>
        </is>
      </c>
      <c r="E5" s="4" t="inlineStr">
        <is>
          <t>No</t>
        </is>
      </c>
      <c r="F5" s="15" t="n">
        <v>46305</v>
      </c>
      <c r="G5" s="5" t="inlineStr">
        <is>
          <t>Ariel Correa</t>
        </is>
      </c>
      <c r="H5" s="5" t="inlineStr">
        <is>
          <t>Pasa</t>
        </is>
      </c>
      <c r="I5" s="5" t="inlineStr">
        <is>
          <t>Pide completar todos los campos obligatorios antes de enviar.</t>
        </is>
      </c>
      <c r="J5" s="4" t="inlineStr">
        <is>
          <t>Fig. 1</t>
        </is>
      </c>
      <c r="K5" s="4" t="n"/>
    </row>
    <row r="6">
      <c r="A6" s="4" t="inlineStr">
        <is>
          <t>CP-02</t>
        </is>
      </c>
      <c r="B6" s="5" t="inlineStr">
        <is>
          <t>Ingreso</t>
        </is>
      </c>
      <c r="C6" s="5" t="inlineStr">
        <is>
          <t>RUT con dígito verificador incorrecto</t>
        </is>
      </c>
      <c r="D6" s="5" t="inlineStr">
        <is>
          <t>Muestra “RUT inválido”</t>
        </is>
      </c>
      <c r="E6" s="4" t="inlineStr">
        <is>
          <t>Sí</t>
        </is>
      </c>
      <c r="F6" s="15" t="n">
        <v>46305</v>
      </c>
      <c r="G6" s="5" t="inlineStr">
        <is>
          <t>Ariel Correa</t>
        </is>
      </c>
      <c r="H6" s="5" t="inlineStr">
        <is>
          <t>Pasa</t>
        </is>
      </c>
      <c r="I6" s="5" t="inlineStr">
        <is>
          <t>Error al poner rut con dígito verificador incorrecto.</t>
        </is>
      </c>
      <c r="J6" s="4" t="inlineStr">
        <is>
          <t>Fig. 2</t>
        </is>
      </c>
      <c r="K6" s="4" t="n"/>
    </row>
    <row r="7">
      <c r="A7" s="4" t="inlineStr">
        <is>
          <t>CP-03</t>
        </is>
      </c>
      <c r="B7" s="5" t="inlineStr">
        <is>
          <t>Ingreso</t>
        </is>
      </c>
      <c r="C7" s="5" t="inlineStr">
        <is>
          <t>RUT válido</t>
        </is>
      </c>
      <c r="D7" s="5" t="inlineStr">
        <is>
          <t>Acepta el dato</t>
        </is>
      </c>
      <c r="E7" s="4" t="inlineStr">
        <is>
          <t>No</t>
        </is>
      </c>
      <c r="F7" s="15" t="n">
        <v>46305</v>
      </c>
      <c r="G7" s="5" t="inlineStr">
        <is>
          <t>Ariel Correa</t>
        </is>
      </c>
      <c r="H7" s="5" t="inlineStr">
        <is>
          <t>Pasa</t>
        </is>
      </c>
      <c r="I7" s="5" t="inlineStr">
        <is>
          <t>Acepta RUT con dígito verificador válido.</t>
        </is>
      </c>
      <c r="J7" s="4" t="inlineStr">
        <is>
          <t>Fig. 3</t>
        </is>
      </c>
      <c r="K7" s="4" t="n"/>
    </row>
    <row r="8">
      <c r="A8" s="4" t="inlineStr">
        <is>
          <t>CP-04</t>
        </is>
      </c>
      <c r="B8" s="5" t="inlineStr">
        <is>
          <t>Ingreso</t>
        </is>
      </c>
      <c r="C8" s="5" t="inlineStr">
        <is>
          <t>Fecha de nacimiento futura</t>
        </is>
      </c>
      <c r="D8" s="5" t="inlineStr">
        <is>
          <t>Muestra error de fecha inválida</t>
        </is>
      </c>
      <c r="E8" s="4" t="inlineStr">
        <is>
          <t>No</t>
        </is>
      </c>
      <c r="F8" s="15" t="n">
        <v>46305</v>
      </c>
      <c r="G8" s="5" t="inlineStr">
        <is>
          <t>Ariel Correa</t>
        </is>
      </c>
      <c r="H8" s="5" t="inlineStr">
        <is>
          <t>Pasa</t>
        </is>
      </c>
      <c r="I8" s="5" t="inlineStr">
        <is>
          <t>Error al poner fecha de nacimiento futura.</t>
        </is>
      </c>
      <c r="J8" s="4" t="inlineStr">
        <is>
          <t>Fig. 4</t>
        </is>
      </c>
      <c r="K8" s="4" t="n"/>
    </row>
    <row r="9">
      <c r="A9" s="4" t="inlineStr">
        <is>
          <t>CP-05</t>
        </is>
      </c>
      <c r="B9" s="5" t="inlineStr">
        <is>
          <t>Ingreso</t>
        </is>
      </c>
      <c r="C9" s="5" t="inlineStr">
        <is>
          <t>Fecha que da menos de 18 o más de 75 años</t>
        </is>
      </c>
      <c r="D9" s="5" t="inlineStr">
        <is>
          <t>Muestra error de fecha inválida</t>
        </is>
      </c>
      <c r="E9" s="4" t="inlineStr">
        <is>
          <t>No</t>
        </is>
      </c>
      <c r="F9" s="15" t="n">
        <v>46305</v>
      </c>
      <c r="G9" s="5" t="inlineStr">
        <is>
          <t>Ariel Correa</t>
        </is>
      </c>
      <c r="H9" s="5" t="inlineStr">
        <is>
          <t>Pasa</t>
        </is>
      </c>
      <c r="I9" s="5" t="inlineStr">
        <is>
          <t>Error al poner fecha con edad menor a 18 años.</t>
        </is>
      </c>
      <c r="J9" s="4" t="inlineStr">
        <is>
          <t>Fig. 5</t>
        </is>
      </c>
      <c r="K9" s="4" t="n"/>
    </row>
    <row r="10">
      <c r="A10" s="4" t="inlineStr">
        <is>
          <t>CP-06</t>
        </is>
      </c>
      <c r="B10" s="5" t="inlineStr">
        <is>
          <t>Ingreso</t>
        </is>
      </c>
      <c r="C10" s="5" t="inlineStr">
        <is>
          <t>Nombre y apellido sin conflicto (ej. Juan Pérez)</t>
        </is>
      </c>
      <c r="D10" s="5" t="inlineStr">
        <is>
          <t>Sugiere jperez</t>
        </is>
      </c>
      <c r="E10" s="4" t="inlineStr">
        <is>
          <t>No</t>
        </is>
      </c>
      <c r="F10" s="15" t="n">
        <v>46305</v>
      </c>
      <c r="G10" s="5" t="inlineStr">
        <is>
          <t>Ariel Correa</t>
        </is>
      </c>
      <c r="H10" s="5" t="inlineStr">
        <is>
          <t>Pasa</t>
        </is>
      </c>
      <c r="I10" s="5" t="inlineStr">
        <is>
          <t>Sugiere inicial nombre + apellido paterno.</t>
        </is>
      </c>
      <c r="J10" s="4" t="inlineStr">
        <is>
          <t>Fig. 6</t>
        </is>
      </c>
      <c r="K10" s="4" t="n"/>
    </row>
    <row r="11">
      <c r="A11" s="4" t="inlineStr">
        <is>
          <t>CP-07</t>
        </is>
      </c>
      <c r="B11" s="5" t="inlineStr">
        <is>
          <t>Ingreso</t>
        </is>
      </c>
      <c r="C11" s="5" t="inlineStr">
        <is>
          <t>El correo jperez ya existe</t>
        </is>
      </c>
      <c r="D11" s="5" t="inlineStr">
        <is>
          <t>Sugiere jperezg (con inicial del apellido materno)</t>
        </is>
      </c>
      <c r="E11" s="4" t="inlineStr">
        <is>
          <t>Sí</t>
        </is>
      </c>
      <c r="F11" s="15" t="n">
        <v>46305</v>
      </c>
      <c r="G11" s="5" t="inlineStr">
        <is>
          <t>Ariel Correa</t>
        </is>
      </c>
      <c r="H11" s="5" t="inlineStr">
        <is>
          <t>Pasa</t>
        </is>
      </c>
      <c r="I11" s="5" t="inlineStr">
        <is>
          <t>Sugiere inicial nombre  + apellido paterno + inicial apellido materno.</t>
        </is>
      </c>
      <c r="J11" s="4" t="inlineStr">
        <is>
          <t>Fig. 7</t>
        </is>
      </c>
      <c r="K11" s="4" t="n"/>
    </row>
    <row r="12">
      <c r="A12" s="4" t="inlineStr">
        <is>
          <t>CP-08</t>
        </is>
      </c>
      <c r="B12" s="5" t="inlineStr">
        <is>
          <t>Ingreso</t>
        </is>
      </c>
      <c r="C12" s="5" t="inlineStr">
        <is>
          <t>Ninguna regla automática resuelve el conflicto</t>
        </is>
      </c>
      <c r="D12" s="5" t="inlineStr">
        <is>
          <t>Habilita edición manual del correo</t>
        </is>
      </c>
      <c r="E12" s="4" t="inlineStr">
        <is>
          <t>No</t>
        </is>
      </c>
      <c r="F12" s="15" t="n">
        <v>46310</v>
      </c>
      <c r="G12" s="5" t="inlineStr">
        <is>
          <t>Antonia Rocco</t>
        </is>
      </c>
      <c r="H12" s="5" t="inlineStr">
        <is>
          <t>Pasa (tras corrección)</t>
        </is>
      </c>
      <c r="I12" s="5" t="inlineStr">
        <is>
          <t>Si ya está ocupado el correo pide crearlo manualmente.</t>
        </is>
      </c>
      <c r="J12" s="4" t="inlineStr">
        <is>
          <t>Fig. 8</t>
        </is>
      </c>
      <c r="K12" s="4" t="n"/>
    </row>
    <row r="13">
      <c r="A13" s="4" t="inlineStr">
        <is>
          <t>CP-09</t>
        </is>
      </c>
      <c r="B13" s="5" t="inlineStr">
        <is>
          <t>Ingreso</t>
        </is>
      </c>
      <c r="C13" s="5" t="inlineStr">
        <is>
          <t>Dos personas distintas con el mismo nombre</t>
        </is>
      </c>
      <c r="D13" s="5" t="inlineStr">
        <is>
          <t>El correo nunca se hereda entre ellas</t>
        </is>
      </c>
      <c r="E13" s="4" t="inlineStr">
        <is>
          <t>No</t>
        </is>
      </c>
      <c r="F13" s="15" t="n">
        <v>46305</v>
      </c>
      <c r="G13" s="5" t="inlineStr">
        <is>
          <t>Ariel Correa</t>
        </is>
      </c>
      <c r="H13" s="5" t="inlineStr">
        <is>
          <t>Pasa</t>
        </is>
      </c>
      <c r="I13" s="5" t="inlineStr">
        <is>
          <t>No hereda el correo a otra persona con el mismo nombre y distinto RUT y en caso de reingreso el sistema notifica de este.</t>
        </is>
      </c>
      <c r="J13" s="4" t="inlineStr">
        <is>
          <t>Fig. 9</t>
        </is>
      </c>
      <c r="K13" s="4" t="n"/>
    </row>
    <row r="14">
      <c r="A14" s="4" t="inlineStr">
        <is>
          <t>CP-10</t>
        </is>
      </c>
      <c r="B14" s="5" t="inlineStr">
        <is>
          <t>Ingreso</t>
        </is>
      </c>
      <c r="C14" s="5" t="inlineStr">
        <is>
          <t>Envío correcto</t>
        </is>
      </c>
      <c r="D14" s="5" t="inlineStr">
        <is>
          <t>Solicitud en estado Pendiente, fecha de SLA calculada y notificación enviada</t>
        </is>
      </c>
      <c r="E14" s="4" t="inlineStr">
        <is>
          <t>No</t>
        </is>
      </c>
      <c r="F14" s="15" t="n">
        <v>46305</v>
      </c>
      <c r="G14" s="5" t="inlineStr">
        <is>
          <t>Ariel Correa</t>
        </is>
      </c>
      <c r="H14" s="5" t="inlineStr">
        <is>
          <t>Pasa</t>
        </is>
      </c>
      <c r="I14" s="5" t="inlineStr">
        <is>
          <t>Crea correctamente la solicitud. La notificación queda pendiente de definición (D-11).</t>
        </is>
      </c>
      <c r="J14" s="4" t="inlineStr">
        <is>
          <t>Fig. 10</t>
        </is>
      </c>
      <c r="K14" s="4" t="inlineStr">
        <is>
          <t>D-11</t>
        </is>
      </c>
    </row>
    <row r="15">
      <c r="A15" s="4" t="inlineStr">
        <is>
          <t>CP-11</t>
        </is>
      </c>
      <c r="B15" s="5" t="inlineStr">
        <is>
          <t>Modificación</t>
        </is>
      </c>
      <c r="C15" s="5" t="inlineStr">
        <is>
          <t>Abrir modificación de un trabajador</t>
        </is>
      </c>
      <c r="D15" s="5" t="inlineStr">
        <is>
          <t>Muestra sus datos y accesos actuales</t>
        </is>
      </c>
      <c r="E15" s="4" t="inlineStr">
        <is>
          <t>No</t>
        </is>
      </c>
      <c r="F15" s="15" t="n">
        <v>46305</v>
      </c>
      <c r="G15" s="5" t="inlineStr">
        <is>
          <t>Ariel Correa</t>
        </is>
      </c>
      <c r="H15" s="5" t="inlineStr">
        <is>
          <t>Pasa</t>
        </is>
      </c>
      <c r="I15" s="5" t="inlineStr">
        <is>
          <t>Muestra los datos del trabajador seleccionado.</t>
        </is>
      </c>
      <c r="J15" s="4" t="inlineStr">
        <is>
          <t>Fig. 11</t>
        </is>
      </c>
      <c r="K15" s="4" t="n"/>
    </row>
    <row r="16">
      <c r="A16" s="4" t="inlineStr">
        <is>
          <t>CP-12</t>
        </is>
      </c>
      <c r="B16" s="5" t="inlineStr">
        <is>
          <t>Modificación</t>
        </is>
      </c>
      <c r="C16" s="5" t="inlineStr">
        <is>
          <t>Enviar sin motivo de modificación</t>
        </is>
      </c>
      <c r="D16" s="5" t="inlineStr">
        <is>
          <t>Rechaza el envío</t>
        </is>
      </c>
      <c r="E16" s="4" t="inlineStr">
        <is>
          <t>No</t>
        </is>
      </c>
      <c r="F16" s="15" t="n">
        <v>46305</v>
      </c>
      <c r="G16" s="5" t="inlineStr">
        <is>
          <t>Ariel Correa</t>
        </is>
      </c>
      <c r="H16" s="5" t="inlineStr">
        <is>
          <t>Pasa</t>
        </is>
      </c>
      <c r="I16" s="5" t="inlineStr">
        <is>
          <t>No deja hacer modificación sin justificación.</t>
        </is>
      </c>
      <c r="J16" s="4" t="inlineStr">
        <is>
          <t>Fig. 12</t>
        </is>
      </c>
      <c r="K16" s="4" t="n"/>
    </row>
    <row r="17">
      <c r="A17" s="4" t="inlineStr">
        <is>
          <t>CP-13</t>
        </is>
      </c>
      <c r="B17" s="5" t="inlineStr">
        <is>
          <t>Bloqueo</t>
        </is>
      </c>
      <c r="C17" s="5" t="inlineStr">
        <is>
          <t>Crear bloqueo</t>
        </is>
      </c>
      <c r="D17" s="5" t="inlineStr">
        <is>
          <t>Precarga los sistemas y carpetas vigentes del trabajador</t>
        </is>
      </c>
      <c r="E17" s="4" t="inlineStr">
        <is>
          <t>No</t>
        </is>
      </c>
      <c r="F17" s="15" t="n">
        <v>46305</v>
      </c>
      <c r="G17" s="5" t="inlineStr">
        <is>
          <t>Ariel Correa</t>
        </is>
      </c>
      <c r="H17" s="5" t="inlineStr">
        <is>
          <t>Pasa</t>
        </is>
      </c>
      <c r="I17" s="5" t="inlineStr">
        <is>
          <t>Precarga los sistemas y carpetas vigentes del trabajador.</t>
        </is>
      </c>
      <c r="J17" s="4" t="inlineStr">
        <is>
          <t>Fig. 13</t>
        </is>
      </c>
      <c r="K17" s="4" t="n"/>
    </row>
    <row r="18">
      <c r="A18" s="4" t="inlineStr">
        <is>
          <t>CP-14</t>
        </is>
      </c>
      <c r="B18" s="5" t="inlineStr">
        <is>
          <t>Bloqueo</t>
        </is>
      </c>
      <c r="C18" s="5" t="inlineStr">
        <is>
          <t>Enviar sin motivo</t>
        </is>
      </c>
      <c r="D18" s="5" t="inlineStr">
        <is>
          <t>Rechaza el envío</t>
        </is>
      </c>
      <c r="E18" s="4" t="inlineStr">
        <is>
          <t>No</t>
        </is>
      </c>
      <c r="F18" s="15" t="n">
        <v>46305</v>
      </c>
      <c r="G18" s="5" t="inlineStr">
        <is>
          <t>Ariel Correa</t>
        </is>
      </c>
      <c r="H18" s="5" t="inlineStr">
        <is>
          <t>Pasa</t>
        </is>
      </c>
      <c r="I18" s="5" t="inlineStr">
        <is>
          <t>No deja enviar formulario sin justificación.</t>
        </is>
      </c>
      <c r="J18" s="4" t="inlineStr">
        <is>
          <t>Fig. 14</t>
        </is>
      </c>
      <c r="K18" s="4" t="n"/>
    </row>
    <row r="19">
      <c r="A19" s="4" t="inlineStr">
        <is>
          <t>CP-15</t>
        </is>
      </c>
      <c r="B19" s="5" t="inlineStr">
        <is>
          <t>Bloqueo</t>
        </is>
      </c>
      <c r="C19" s="5" t="inlineStr">
        <is>
          <t>Crear bloqueo un sábado o domingo</t>
        </is>
      </c>
      <c r="D19" s="5" t="inlineStr">
        <is>
          <t>No permite crearlo</t>
        </is>
      </c>
      <c r="E19" s="4" t="inlineStr">
        <is>
          <t>Sí</t>
        </is>
      </c>
      <c r="F19" s="15" t="n">
        <v>46305</v>
      </c>
      <c r="G19" s="5" t="inlineStr">
        <is>
          <t>Ariel Correa</t>
        </is>
      </c>
      <c r="H19" s="5" t="inlineStr">
        <is>
          <t>Pasa</t>
        </is>
      </c>
      <c r="I19" s="5" t="inlineStr">
        <is>
          <t>No deja crear solicitudes los días sábado y domingo.</t>
        </is>
      </c>
      <c r="J19" s="4" t="inlineStr">
        <is>
          <t>Fig. 15</t>
        </is>
      </c>
      <c r="K19" s="4" t="n"/>
    </row>
    <row r="20">
      <c r="A20" s="4" t="inlineStr">
        <is>
          <t>CP-16</t>
        </is>
      </c>
      <c r="B20" s="5" t="inlineStr">
        <is>
          <t>Bloqueo</t>
        </is>
      </c>
      <c r="C20" s="5" t="inlineStr">
        <is>
          <t>Crear bloqueo válido</t>
        </is>
      </c>
      <c r="D20" s="5" t="inlineStr">
        <is>
          <t>Estado Pendiente, SLA de mismo día hábil, RRHH recibe enlace</t>
        </is>
      </c>
      <c r="E20" s="4" t="inlineStr">
        <is>
          <t>No</t>
        </is>
      </c>
      <c r="F20" s="15" t="n"/>
      <c r="G20" s="5" t="n"/>
      <c r="H20" s="5" t="inlineStr">
        <is>
          <t>Pendiente</t>
        </is>
      </c>
      <c r="I20" s="5" t="inlineStr">
        <is>
          <t>Requiere un día hábil: queda por ejecutar en el próximo día hábil.</t>
        </is>
      </c>
      <c r="J20" s="4" t="n"/>
      <c r="K20" s="4" t="n"/>
    </row>
    <row r="21">
      <c r="A21" s="4" t="inlineStr">
        <is>
          <t>CP-17</t>
        </is>
      </c>
      <c r="B21" s="5" t="inlineStr">
        <is>
          <t>Bloqueo</t>
        </is>
      </c>
      <c r="C21" s="5" t="inlineStr">
        <is>
          <t>RRHH aprueba</t>
        </is>
      </c>
      <c r="D21" s="5" t="inlineStr">
        <is>
          <t>Pasa a En proceso y se notifica a TI</t>
        </is>
      </c>
      <c r="E21" s="4" t="inlineStr">
        <is>
          <t>No</t>
        </is>
      </c>
      <c r="F21" s="15" t="n">
        <v>46306</v>
      </c>
      <c r="G21" s="5" t="inlineStr">
        <is>
          <t>Ariel Correa</t>
        </is>
      </c>
      <c r="H21" s="5" t="inlineStr">
        <is>
          <t>Pasa (tras corrección)</t>
        </is>
      </c>
      <c r="I21" s="5" t="inlineStr">
        <is>
          <t>RRHH aprueba correctamente la solicitud.</t>
        </is>
      </c>
      <c r="J21" s="4" t="inlineStr">
        <is>
          <t>Fig. 16</t>
        </is>
      </c>
      <c r="K21" s="4" t="n"/>
    </row>
    <row r="22">
      <c r="A22" s="4" t="inlineStr">
        <is>
          <t>CP-18</t>
        </is>
      </c>
      <c r="B22" s="5" t="inlineStr">
        <is>
          <t>Bloqueo</t>
        </is>
      </c>
      <c r="C22" s="5" t="inlineStr">
        <is>
          <t>RRHH rechaza sin motivo</t>
        </is>
      </c>
      <c r="D22" s="5" t="inlineStr">
        <is>
          <t>No permite rechazar</t>
        </is>
      </c>
      <c r="E22" s="4" t="inlineStr">
        <is>
          <t>No</t>
        </is>
      </c>
      <c r="F22" s="15" t="n">
        <v>46306</v>
      </c>
      <c r="G22" s="5" t="inlineStr">
        <is>
          <t>Ariel Correa</t>
        </is>
      </c>
      <c r="H22" s="5" t="inlineStr">
        <is>
          <t>Pasa (tras corrección)</t>
        </is>
      </c>
      <c r="I22" s="5" t="inlineStr">
        <is>
          <t>RRHH no puede rechazar solicitud sin justificación.</t>
        </is>
      </c>
      <c r="J22" s="4" t="inlineStr">
        <is>
          <t>Fig. 17</t>
        </is>
      </c>
      <c r="K22" s="4" t="n"/>
    </row>
    <row r="23">
      <c r="A23" s="4" t="inlineStr">
        <is>
          <t>CP-19</t>
        </is>
      </c>
      <c r="B23" s="5" t="inlineStr">
        <is>
          <t>Bloqueo</t>
        </is>
      </c>
      <c r="C23" s="5" t="inlineStr">
        <is>
          <t>RRHH rechaza con motivo</t>
        </is>
      </c>
      <c r="D23" s="5" t="inlineStr">
        <is>
          <t>Estado Rechazada (final)</t>
        </is>
      </c>
      <c r="E23" s="4" t="inlineStr">
        <is>
          <t>No</t>
        </is>
      </c>
      <c r="F23" s="15" t="n">
        <v>46306</v>
      </c>
      <c r="G23" s="5" t="inlineStr">
        <is>
          <t>Ariel Correa</t>
        </is>
      </c>
      <c r="H23" s="5" t="inlineStr">
        <is>
          <t>Pasa (tras corrección)</t>
        </is>
      </c>
      <c r="I23" s="5" t="inlineStr">
        <is>
          <t>RRHH rechaza correctamente con justificación.</t>
        </is>
      </c>
      <c r="J23" s="4" t="inlineStr">
        <is>
          <t>Fig. 18</t>
        </is>
      </c>
      <c r="K23" s="4" t="n"/>
    </row>
    <row r="24">
      <c r="A24" s="4" t="inlineStr">
        <is>
          <t>CP-20</t>
        </is>
      </c>
      <c r="B24" s="5" t="inlineStr">
        <is>
          <t>VPN</t>
        </is>
      </c>
      <c r="C24" s="5" t="inlineStr">
        <is>
          <t>Jefatura intenta abrir el formulario completo sin aprobación previa</t>
        </is>
      </c>
      <c r="D24" s="5" t="inlineStr">
        <is>
          <t>No lo ve ni puede acceder</t>
        </is>
      </c>
      <c r="E24" s="4" t="inlineStr">
        <is>
          <t>Sí</t>
        </is>
      </c>
      <c r="F24" s="15" t="n"/>
      <c r="G24" s="5" t="n"/>
      <c r="H24" s="5" t="inlineStr">
        <is>
          <t>Pendiente</t>
        </is>
      </c>
      <c r="I24" s="5" t="inlineStr">
        <is>
          <t>Módulo VPN no implementado</t>
        </is>
      </c>
      <c r="J24" s="4" t="n"/>
      <c r="K24" s="4" t="n"/>
    </row>
    <row r="25">
      <c r="A25" s="4" t="inlineStr">
        <is>
          <t>CP-21</t>
        </is>
      </c>
      <c r="B25" s="5" t="inlineStr">
        <is>
          <t>VPN</t>
        </is>
      </c>
      <c r="C25" s="5" t="inlineStr">
        <is>
          <t>Jefatura solicita acceso con motivo predefinido</t>
        </is>
      </c>
      <c r="D25" s="5" t="inlineStr">
        <is>
          <t>Estado Pendiente y TI es notificado</t>
        </is>
      </c>
      <c r="E25" s="4" t="inlineStr">
        <is>
          <t>No</t>
        </is>
      </c>
      <c r="F25" s="15" t="n"/>
      <c r="G25" s="5" t="n"/>
      <c r="H25" s="5" t="inlineStr">
        <is>
          <t>Pendiente</t>
        </is>
      </c>
      <c r="I25" s="5" t="inlineStr">
        <is>
          <t>Módulo VPN no implementado</t>
        </is>
      </c>
      <c r="J25" s="4" t="n"/>
      <c r="K25" s="4" t="n"/>
    </row>
    <row r="26">
      <c r="A26" s="4" t="inlineStr">
        <is>
          <t>CP-22</t>
        </is>
      </c>
      <c r="B26" s="5" t="inlineStr">
        <is>
          <t>VPN</t>
        </is>
      </c>
      <c r="C26" s="5" t="inlineStr">
        <is>
          <t>TI aprueba el acceso</t>
        </is>
      </c>
      <c r="D26" s="5" t="inlineStr">
        <is>
          <t>Se habilita el formulario solo para esa solicitud</t>
        </is>
      </c>
      <c r="E26" s="4" t="inlineStr">
        <is>
          <t>No</t>
        </is>
      </c>
      <c r="F26" s="15" t="n"/>
      <c r="G26" s="5" t="n"/>
      <c r="H26" s="5" t="inlineStr">
        <is>
          <t>Pendiente</t>
        </is>
      </c>
      <c r="I26" s="5" t="inlineStr">
        <is>
          <t>Módulo VPN no implementado</t>
        </is>
      </c>
      <c r="J26" s="4" t="n"/>
      <c r="K26" s="4" t="n"/>
    </row>
    <row r="27">
      <c r="A27" s="4" t="inlineStr">
        <is>
          <t>CP-23</t>
        </is>
      </c>
      <c r="B27" s="5" t="inlineStr">
        <is>
          <t>VPN</t>
        </is>
      </c>
      <c r="C27" s="5" t="inlineStr">
        <is>
          <t>TI rechaza el acceso</t>
        </is>
      </c>
      <c r="D27" s="5" t="inlineStr">
        <is>
          <t>Estado Rechazada y el flujo termina</t>
        </is>
      </c>
      <c r="E27" s="4" t="inlineStr">
        <is>
          <t>No</t>
        </is>
      </c>
      <c r="F27" s="15" t="n"/>
      <c r="G27" s="5" t="n"/>
      <c r="H27" s="5" t="inlineStr">
        <is>
          <t>Pendiente</t>
        </is>
      </c>
      <c r="I27" s="5" t="inlineStr">
        <is>
          <t>Módulo VPN no implementado</t>
        </is>
      </c>
      <c r="J27" s="4" t="n"/>
      <c r="K27" s="4" t="n"/>
    </row>
    <row r="28">
      <c r="A28" s="4" t="inlineStr">
        <is>
          <t>CP-24</t>
        </is>
      </c>
      <c r="B28" s="5" t="inlineStr">
        <is>
          <t>VPN</t>
        </is>
      </c>
      <c r="C28" s="5" t="inlineStr">
        <is>
          <t>Jefatura completa la ficha; TI la revisa y la envía</t>
        </is>
      </c>
      <c r="D28" s="5" t="inlineStr">
        <is>
          <t>En proceso al completarla; Completada al enviarse al proveedor</t>
        </is>
      </c>
      <c r="E28" s="4" t="inlineStr">
        <is>
          <t>No</t>
        </is>
      </c>
      <c r="F28" s="15" t="n"/>
      <c r="G28" s="5" t="n"/>
      <c r="H28" s="5" t="inlineStr">
        <is>
          <t>Pendiente</t>
        </is>
      </c>
      <c r="I28" s="5" t="inlineStr">
        <is>
          <t>Módulo VPN no implementado</t>
        </is>
      </c>
      <c r="J28" s="4" t="n"/>
      <c r="K28" s="4" t="n"/>
    </row>
    <row r="29">
      <c r="A29" s="4" t="inlineStr">
        <is>
          <t>CP-25</t>
        </is>
      </c>
      <c r="B29" s="5" t="inlineStr">
        <is>
          <t>Estados y cierre</t>
        </is>
      </c>
      <c r="C29" s="5" t="inlineStr">
        <is>
          <t>Marcar como completada una solicitud Pendiente</t>
        </is>
      </c>
      <c r="D29" s="5" t="inlineStr">
        <is>
          <t>No permitido; solo desde En proceso</t>
        </is>
      </c>
      <c r="E29" s="4" t="inlineStr">
        <is>
          <t>Sí</t>
        </is>
      </c>
      <c r="F29" s="15" t="n">
        <v>46306</v>
      </c>
      <c r="G29" s="5" t="inlineStr">
        <is>
          <t>Ariel Correa</t>
        </is>
      </c>
      <c r="H29" s="5" t="inlineStr">
        <is>
          <t>Pasa (tras corrección)</t>
        </is>
      </c>
      <c r="I29" s="5" t="inlineStr">
        <is>
          <t>En el sistema si hay una solicitud pendiente no permite realizar otra acción que no sea inciar o rechazar .</t>
        </is>
      </c>
      <c r="J29" s="4" t="inlineStr">
        <is>
          <t>Fig. 19, 20</t>
        </is>
      </c>
      <c r="K29" s="4" t="n"/>
    </row>
    <row r="30">
      <c r="A30" s="4" t="inlineStr">
        <is>
          <t>CP-26</t>
        </is>
      </c>
      <c r="B30" s="5" t="inlineStr">
        <is>
          <t>Estados y cierre</t>
        </is>
      </c>
      <c r="C30" s="5" t="inlineStr">
        <is>
          <t>Marcar como completada una solicitud En proceso</t>
        </is>
      </c>
      <c r="D30" s="5" t="inlineStr">
        <is>
          <t>Registra usuario, fecha y hora; estado Completada</t>
        </is>
      </c>
      <c r="E30" s="4" t="inlineStr">
        <is>
          <t>No</t>
        </is>
      </c>
      <c r="F30" s="15" t="n">
        <v>46306</v>
      </c>
      <c r="G30" s="5" t="inlineStr">
        <is>
          <t>Ariel Correa</t>
        </is>
      </c>
      <c r="H30" s="5" t="inlineStr">
        <is>
          <t>Pasa (tras corrección)</t>
        </is>
      </c>
      <c r="I30" s="5" t="inlineStr">
        <is>
          <t>Registra de manera correcta usuario, fecha y hora; estado Completada.</t>
        </is>
      </c>
      <c r="J30" s="4" t="inlineStr">
        <is>
          <t>Fig. 21</t>
        </is>
      </c>
      <c r="K30" s="4" t="n"/>
    </row>
    <row r="31">
      <c r="A31" s="4" t="inlineStr">
        <is>
          <t>CP-27</t>
        </is>
      </c>
      <c r="B31" s="5" t="inlineStr">
        <is>
          <t>Estados y cierre</t>
        </is>
      </c>
      <c r="C31" s="5" t="inlineStr">
        <is>
          <t>TI rechaza solicitud (Pendiente o En proceso) sin motivo</t>
        </is>
      </c>
      <c r="D31" s="5" t="inlineStr">
        <is>
          <t>No permite rechazar</t>
        </is>
      </c>
      <c r="E31" s="4" t="inlineStr">
        <is>
          <t>No</t>
        </is>
      </c>
      <c r="F31" s="15" t="n">
        <v>46306</v>
      </c>
      <c r="G31" s="5" t="inlineStr">
        <is>
          <t>Ariel Correa</t>
        </is>
      </c>
      <c r="H31" s="5" t="inlineStr">
        <is>
          <t>Pasa (tras corrección)</t>
        </is>
      </c>
      <c r="I31" s="5" t="inlineStr">
        <is>
          <t>No permite a AdminTI rechazar una solicitud sin justificación.</t>
        </is>
      </c>
      <c r="J31" s="4" t="inlineStr">
        <is>
          <t>Fig. 22</t>
        </is>
      </c>
      <c r="K31" s="4" t="n"/>
    </row>
    <row r="32">
      <c r="A32" s="4" t="inlineStr">
        <is>
          <t>CP-28</t>
        </is>
      </c>
      <c r="B32" s="5" t="inlineStr">
        <is>
          <t>Estados y cierre</t>
        </is>
      </c>
      <c r="C32" s="5" t="inlineStr">
        <is>
          <t>Solicitud vencida por SLA</t>
        </is>
      </c>
      <c r="D32" s="5" t="inlineStr">
        <is>
          <t>Muestra alerta visual sin cambiar el estado</t>
        </is>
      </c>
      <c r="E32" s="4" t="inlineStr">
        <is>
          <t>No</t>
        </is>
      </c>
      <c r="F32" s="15" t="n">
        <v>46306</v>
      </c>
      <c r="G32" s="5" t="inlineStr">
        <is>
          <t>Ariel Correa</t>
        </is>
      </c>
      <c r="H32" s="5" t="inlineStr">
        <is>
          <t>Pasa (tras corrección)</t>
        </is>
      </c>
      <c r="I32" s="5" t="inlineStr">
        <is>
          <t>Muestra alerta visual sin cambiar el estado</t>
        </is>
      </c>
      <c r="J32" s="4" t="inlineStr">
        <is>
          <t>Fig. 23</t>
        </is>
      </c>
      <c r="K32" s="4" t="n"/>
    </row>
    <row r="33">
      <c r="A33" s="4" t="inlineStr">
        <is>
          <t>CP-29</t>
        </is>
      </c>
      <c r="B33" s="5" t="inlineStr">
        <is>
          <t>Permisos y acceso</t>
        </is>
      </c>
      <c r="C33" s="5" t="inlineStr">
        <is>
          <t>Jefatura consulta trabajadores</t>
        </is>
      </c>
      <c r="D33" s="5" t="inlineStr">
        <is>
          <t>Solo ve los de su propia área</t>
        </is>
      </c>
      <c r="E33" s="4" t="inlineStr">
        <is>
          <t>No</t>
        </is>
      </c>
      <c r="F33" s="15" t="n">
        <v>46306</v>
      </c>
      <c r="G33" s="5" t="inlineStr">
        <is>
          <t>Ariel Correa</t>
        </is>
      </c>
      <c r="H33" s="5" t="inlineStr">
        <is>
          <t>Pasa (tras corrección)</t>
        </is>
      </c>
      <c r="I33" s="5" t="inlineStr">
        <is>
          <t>Rol Jefatura solo puede consultar trabajadores de su área.</t>
        </is>
      </c>
      <c r="J33" s="4" t="inlineStr">
        <is>
          <t>Fig. 24</t>
        </is>
      </c>
      <c r="K33" s="4" t="n"/>
    </row>
    <row r="34">
      <c r="A34" s="4" t="inlineStr">
        <is>
          <t>CP-30</t>
        </is>
      </c>
      <c r="B34" s="5" t="inlineStr">
        <is>
          <t>Permisos y acceso</t>
        </is>
      </c>
      <c r="C34" s="5" t="inlineStr">
        <is>
          <t>Jefatura llama directo a la API por trabajadores de otra área</t>
        </is>
      </c>
      <c r="D34" s="5" t="inlineStr">
        <is>
          <t>Respuesta de acceso denegado</t>
        </is>
      </c>
      <c r="E34" s="4" t="inlineStr">
        <is>
          <t>Sí</t>
        </is>
      </c>
      <c r="F34" s="15" t="n">
        <v>46306</v>
      </c>
      <c r="G34" s="5" t="inlineStr">
        <is>
          <t>Ariel Correa</t>
        </is>
      </c>
      <c r="H34" s="5" t="inlineStr">
        <is>
          <t>Pasa (tras corrección)</t>
        </is>
      </c>
      <c r="I34" s="5" t="inlineStr">
        <is>
          <t>Rol Jefatura no tiene acceso a trabajadores de otra área llamando directo a la API.</t>
        </is>
      </c>
      <c r="J34" s="4" t="inlineStr">
        <is>
          <t>Fig. 25</t>
        </is>
      </c>
      <c r="K34" s="4" t="n"/>
    </row>
    <row r="35">
      <c r="A35" s="4" t="inlineStr">
        <is>
          <t>CP-31</t>
        </is>
      </c>
      <c r="B35" s="5" t="inlineStr">
        <is>
          <t>Permisos y acceso</t>
        </is>
      </c>
      <c r="C35" s="5" t="inlineStr">
        <is>
          <t>RRHH intenta crear una solicitud de Ingreso</t>
        </is>
      </c>
      <c r="D35" s="5" t="inlineStr">
        <is>
          <t>No permitido</t>
        </is>
      </c>
      <c r="E35" s="4" t="inlineStr">
        <is>
          <t>Sí</t>
        </is>
      </c>
      <c r="F35" s="15" t="n">
        <v>46305</v>
      </c>
      <c r="G35" s="5" t="inlineStr">
        <is>
          <t>Ariel Correa</t>
        </is>
      </c>
      <c r="H35" s="5" t="inlineStr">
        <is>
          <t>Pasa</t>
        </is>
      </c>
      <c r="I35" s="5" t="inlineStr">
        <is>
          <t>RRHH no puede crear Ingresos (sin botón y la API responde 403).</t>
        </is>
      </c>
      <c r="J35" s="4" t="inlineStr">
        <is>
          <t>Fig. 26</t>
        </is>
      </c>
      <c r="K35" s="4" t="n"/>
    </row>
    <row r="36">
      <c r="A36" s="4" t="inlineStr">
        <is>
          <t>CP-32</t>
        </is>
      </c>
      <c r="B36" s="5" t="inlineStr">
        <is>
          <t>Permisos y acceso</t>
        </is>
      </c>
      <c r="C36" s="5" t="inlineStr">
        <is>
          <t>Auditoría intenta crear, aprobar o rechazar</t>
        </is>
      </c>
      <c r="D36" s="5" t="inlineStr">
        <is>
          <t>No permitido (solo lectura)</t>
        </is>
      </c>
      <c r="E36" s="4" t="inlineStr">
        <is>
          <t>Sí</t>
        </is>
      </c>
      <c r="F36" s="15" t="n">
        <v>46305</v>
      </c>
      <c r="G36" s="5" t="inlineStr">
        <is>
          <t>Ariel Correa</t>
        </is>
      </c>
      <c r="H36" s="5" t="inlineStr">
        <is>
          <t>Pasa</t>
        </is>
      </c>
      <c r="I36" s="5" t="inlineStr">
        <is>
          <t>Auditoría solo puede consultar, no ve opción para crear y la API rechaza la creación.</t>
        </is>
      </c>
      <c r="J36" s="4" t="inlineStr">
        <is>
          <t>Fig. 27</t>
        </is>
      </c>
      <c r="K36" s="4" t="n"/>
    </row>
    <row r="37">
      <c r="A37" s="4" t="inlineStr">
        <is>
          <t>CP-33</t>
        </is>
      </c>
      <c r="B37" s="5" t="inlineStr">
        <is>
          <t>Permisos y acceso</t>
        </is>
      </c>
      <c r="C37" s="5" t="inlineStr">
        <is>
          <t>Super Admin ejecuta acciones de cualquier rol</t>
        </is>
      </c>
      <c r="D37" s="5" t="inlineStr">
        <is>
          <t>Permitido y queda registrado</t>
        </is>
      </c>
      <c r="E37" s="4" t="inlineStr">
        <is>
          <t>No</t>
        </is>
      </c>
      <c r="F37" s="15" t="n">
        <v>46305</v>
      </c>
      <c r="G37" s="5" t="inlineStr">
        <is>
          <t>Ariel Correa</t>
        </is>
      </c>
      <c r="H37" s="5" t="inlineStr">
        <is>
          <t>Pasa</t>
        </is>
      </c>
      <c r="I37" s="5" t="inlineStr">
        <is>
          <t>Super Admin puede crear solicitudes y editar catálogos, la acción queda en el historial a su nombre.
Se corrigió que el historial registrara siempre al mismo usuario (creadoPorId fijo en el frontend); ahora el backend identifica al usuario según el rol. Temporal hasta el login con AD (KB-02).</t>
        </is>
      </c>
      <c r="J37" s="4" t="inlineStr">
        <is>
          <t>Fig. 28, 29, 30</t>
        </is>
      </c>
      <c r="K37" s="4" t="n"/>
    </row>
    <row r="38">
      <c r="A38" s="4" t="inlineStr">
        <is>
          <t>CP-34</t>
        </is>
      </c>
      <c r="B38" s="5" t="inlineStr">
        <is>
          <t>Permisos y acceso</t>
        </is>
      </c>
      <c r="C38" s="5" t="inlineStr">
        <is>
          <t>Iniciar sesión con credenciales de Active Directory</t>
        </is>
      </c>
      <c r="D38" s="5" t="inlineStr">
        <is>
          <t>Acceso según el rol asignado</t>
        </is>
      </c>
      <c r="E38" s="4" t="inlineStr">
        <is>
          <t>No</t>
        </is>
      </c>
      <c r="F38" s="15" t="n"/>
      <c r="G38" s="5" t="n"/>
      <c r="H38" s="5" t="inlineStr">
        <is>
          <t>Pendiente</t>
        </is>
      </c>
      <c r="I38" s="5" t="inlineStr">
        <is>
          <t>login con AD no implementado</t>
        </is>
      </c>
      <c r="J38" s="4" t="n"/>
      <c r="K38" s="4" t="n"/>
    </row>
    <row r="39">
      <c r="A39" s="4" t="inlineStr">
        <is>
          <t>CP-35</t>
        </is>
      </c>
      <c r="B39" s="5" t="inlineStr">
        <is>
          <t>Permisos y acceso</t>
        </is>
      </c>
      <c r="C39" s="5" t="inlineStr">
        <is>
          <t>Cerrar sesión y volver a una pantalla protegida</t>
        </is>
      </c>
      <c r="D39" s="5" t="inlineStr">
        <is>
          <t>Exige autenticación de nuevo</t>
        </is>
      </c>
      <c r="E39" s="4" t="inlineStr">
        <is>
          <t>No</t>
        </is>
      </c>
      <c r="F39" s="15" t="n"/>
      <c r="G39" s="5" t="n"/>
      <c r="H39" s="5" t="inlineStr">
        <is>
          <t>Pendiente</t>
        </is>
      </c>
      <c r="I39" s="5" t="inlineStr">
        <is>
          <t>login con AD no implementado</t>
        </is>
      </c>
      <c r="J39" s="4" t="n"/>
      <c r="K39" s="4" t="n"/>
    </row>
    <row r="40">
      <c r="A40" s="4" t="inlineStr">
        <is>
          <t>CP-36</t>
        </is>
      </c>
      <c r="B40" s="5" t="inlineStr">
        <is>
          <t>Catálogos, reportes e historial</t>
        </is>
      </c>
      <c r="C40" s="5" t="inlineStr">
        <is>
          <t>Admin agrega un sistema al catálogo</t>
        </is>
      </c>
      <c r="D40" s="5" t="inlineStr">
        <is>
          <t>Aparece de inmediato en los formularios</t>
        </is>
      </c>
      <c r="E40" s="4" t="inlineStr">
        <is>
          <t>No</t>
        </is>
      </c>
      <c r="F40" s="15" t="n">
        <v>46305</v>
      </c>
      <c r="G40" s="5" t="inlineStr">
        <is>
          <t>Ariel Correa</t>
        </is>
      </c>
      <c r="H40" s="5" t="inlineStr">
        <is>
          <t>Pasa</t>
        </is>
      </c>
      <c r="I40" s="5" t="inlineStr">
        <is>
          <t>El sistema agregado en Catálogos aparece de inmediato en el formulario de solicitud.</t>
        </is>
      </c>
      <c r="J40" s="4" t="inlineStr">
        <is>
          <t>Fig. 31</t>
        </is>
      </c>
      <c r="K40" s="4" t="n"/>
    </row>
    <row r="41">
      <c r="A41" s="4" t="inlineStr">
        <is>
          <t>CP-37</t>
        </is>
      </c>
      <c r="B41" s="5" t="inlineStr">
        <is>
          <t>Catálogos, reportes e historial</t>
        </is>
      </c>
      <c r="C41" s="5" t="inlineStr">
        <is>
          <t>Rol sin permiso intenta editar catálogos</t>
        </is>
      </c>
      <c r="D41" s="5" t="inlineStr">
        <is>
          <t>No permitido</t>
        </is>
      </c>
      <c r="E41" s="4" t="inlineStr">
        <is>
          <t>No</t>
        </is>
      </c>
      <c r="F41" s="15" t="n">
        <v>46305</v>
      </c>
      <c r="G41" s="5" t="inlineStr">
        <is>
          <t>Ariel Correa</t>
        </is>
      </c>
      <c r="H41" s="5" t="inlineStr">
        <is>
          <t>Pasa</t>
        </is>
      </c>
      <c r="I41" s="5" t="inlineStr">
        <is>
          <t>Roles sin permiso no ven Catálogos y la API rechaza agregar, editar o desactivar.</t>
        </is>
      </c>
      <c r="J41" s="4" t="inlineStr">
        <is>
          <t>Fig. 32, 33</t>
        </is>
      </c>
      <c r="K41" s="4" t="n"/>
    </row>
    <row r="42">
      <c r="A42" s="4" t="inlineStr">
        <is>
          <t>CP-38</t>
        </is>
      </c>
      <c r="B42" s="5" t="inlineStr">
        <is>
          <t>Catálogos, reportes e historial</t>
        </is>
      </c>
      <c r="C42" s="5" t="inlineStr">
        <is>
          <t>Exportar a PDF y Excel con filtros aplicados</t>
        </is>
      </c>
      <c r="D42" s="5" t="inlineStr">
        <is>
          <t>El archivo respeta los filtros</t>
        </is>
      </c>
      <c r="E42" s="4" t="inlineStr">
        <is>
          <t>No</t>
        </is>
      </c>
      <c r="F42" s="15" t="n"/>
      <c r="G42" s="5" t="n"/>
      <c r="H42" s="5" t="inlineStr">
        <is>
          <t>Pendiente</t>
        </is>
      </c>
      <c r="I42" s="5" t="inlineStr">
        <is>
          <t>Exportación a PDF y Excel no implementada (KB-01 en Backlog).</t>
        </is>
      </c>
      <c r="J42" s="4" t="n"/>
      <c r="K42" s="4" t="n"/>
    </row>
    <row r="43">
      <c r="A43" s="4" t="inlineStr">
        <is>
          <t>CP-39</t>
        </is>
      </c>
      <c r="B43" s="5" t="inlineStr">
        <is>
          <t>Catálogos, reportes e historial</t>
        </is>
      </c>
      <c r="C43" s="5" t="inlineStr">
        <is>
          <t>Auditoría consulta el historial de una solicitud</t>
        </is>
      </c>
      <c r="D43" s="5" t="inlineStr">
        <is>
          <t>Muestra actor, fecha y hora de cada paso</t>
        </is>
      </c>
      <c r="E43" s="4" t="inlineStr">
        <is>
          <t>No</t>
        </is>
      </c>
      <c r="F43" s="15" t="n">
        <v>46306</v>
      </c>
      <c r="G43" s="5" t="inlineStr">
        <is>
          <t>Ariel Correa</t>
        </is>
      </c>
      <c r="H43" s="5" t="inlineStr">
        <is>
          <t>Pasa (tras corrección)</t>
        </is>
      </c>
      <c r="I43" s="5" t="inlineStr">
        <is>
          <t>La app muestra el historial de una solicitud desde el rol de Auditoría.</t>
        </is>
      </c>
      <c r="J43" s="4" t="inlineStr">
        <is>
          <t>Fig. 34</t>
        </is>
      </c>
      <c r="K43" s="4" t="n"/>
    </row>
    <row r="44">
      <c r="A44" s="4" t="inlineStr">
        <is>
          <t>CP-40</t>
        </is>
      </c>
      <c r="B44" s="5" t="inlineStr">
        <is>
          <t>Catálogos, reportes e historial</t>
        </is>
      </c>
      <c r="C44" s="5" t="inlineStr">
        <is>
          <t>Solicitud rechazada que se corrige</t>
        </is>
      </c>
      <c r="D44" s="5" t="inlineStr">
        <is>
          <t>La nueva solicitud queda enlazada a la original</t>
        </is>
      </c>
      <c r="E44" s="4" t="inlineStr">
        <is>
          <t>No</t>
        </is>
      </c>
      <c r="F44" s="15" t="n">
        <v>46306</v>
      </c>
      <c r="G44" s="5" t="inlineStr">
        <is>
          <t>Ariel Correa</t>
        </is>
      </c>
      <c r="H44" s="5" t="inlineStr">
        <is>
          <t>Pasa (tras corrección)</t>
        </is>
      </c>
      <c r="I44" s="5" t="inlineStr">
        <is>
          <t>La solicitud corregida queda enlazada a la original (que sigue Rechazada) y se puede navegar entre ambas.</t>
        </is>
      </c>
      <c r="J44" s="4" t="inlineStr">
        <is>
          <t>Fig. 35, 36, 37, 38</t>
        </is>
      </c>
      <c r="K44" s="4" t="n"/>
    </row>
  </sheetData>
  <autoFilter ref="A4:K44"/>
  <conditionalFormatting sqref="H5:H44">
    <cfRule type="expression" priority="1" dxfId="0">
      <formula>$H5="Pasa"</formula>
    </cfRule>
    <cfRule type="expression" priority="2" dxfId="1">
      <formula>$H5="Pasa (tras corrección)"</formula>
    </cfRule>
    <cfRule type="expression" priority="3" dxfId="2">
      <formula>$H5="Falla"</formula>
    </cfRule>
    <cfRule type="expression" priority="4" dxfId="3">
      <formula>$H5="Pendiente"</formula>
    </cfRule>
  </conditionalFormatting>
  <dataValidations count="1">
    <dataValidation sqref="H5:H44" showDropDown="0" showInputMessage="0" showErrorMessage="0" allowBlank="0" type="list">
      <formula1>"Pasa,Pasa (tras corrección),Falla,Pendiente"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Resumen del seguimiento de pruebas</t>
        </is>
      </c>
    </row>
    <row r="3">
      <c r="A3" s="7" t="inlineStr">
        <is>
          <t>Casos totales</t>
        </is>
      </c>
      <c r="B3">
        <f>COUNTA(Seguimiento!$A$5:$A$44)</f>
        <v/>
      </c>
    </row>
    <row r="4">
      <c r="A4" s="7" t="inlineStr">
        <is>
          <t>Ejecutados</t>
        </is>
      </c>
      <c r="B4">
        <f>B5+B6+B7</f>
        <v/>
      </c>
    </row>
    <row r="5">
      <c r="A5" s="7" t="inlineStr">
        <is>
          <t>Pasan a la primera ejecución</t>
        </is>
      </c>
      <c r="B5">
        <f>COUNTIF(Seguimiento!$H$5:$H$44,"Pasa")</f>
        <v/>
      </c>
    </row>
    <row r="6">
      <c r="A6" s="7" t="inlineStr">
        <is>
          <t>Pasan tras corrección</t>
        </is>
      </c>
      <c r="B6">
        <f>COUNTIF(Seguimiento!$H$5:$H$44,"Pasa (tras corrección)")</f>
        <v/>
      </c>
    </row>
    <row r="7">
      <c r="A7" s="7" t="inlineStr">
        <is>
          <t>Fallan</t>
        </is>
      </c>
      <c r="B7">
        <f>COUNTIF(Seguimiento!$H$5:$H$44,"Falla")</f>
        <v/>
      </c>
    </row>
    <row r="8">
      <c r="A8" s="7" t="inlineStr">
        <is>
          <t>Pendientes</t>
        </is>
      </c>
      <c r="B8">
        <f>COUNTIF(Seguimiento!$H$5:$H$44,"Pendiente")</f>
        <v/>
      </c>
    </row>
    <row r="9">
      <c r="A9" s="7" t="inlineStr">
        <is>
          <t>Avance de ejecución</t>
        </is>
      </c>
      <c r="B9" s="8">
        <f>B4/B3</f>
        <v/>
      </c>
    </row>
    <row r="10">
      <c r="A10" s="7" t="inlineStr">
        <is>
          <t>Casos críticos para automatizar</t>
        </is>
      </c>
      <c r="B10">
        <f>COUNTIF(Seguimiento!$E$5:$E$44,"Sí")</f>
        <v/>
      </c>
    </row>
    <row r="12">
      <c r="A12" s="9" t="inlineStr">
        <is>
          <t>Por módulo</t>
        </is>
      </c>
    </row>
    <row r="13">
      <c r="A13" s="10" t="inlineStr">
        <is>
          <t>Módulo</t>
        </is>
      </c>
      <c r="B13" s="10" t="inlineStr">
        <is>
          <t>Total</t>
        </is>
      </c>
      <c r="C13" s="10" t="inlineStr">
        <is>
          <t>Pasan</t>
        </is>
      </c>
      <c r="D13" s="10" t="inlineStr">
        <is>
          <t>Pasan tras corrección</t>
        </is>
      </c>
      <c r="E13" s="10" t="inlineStr">
        <is>
          <t>Fallan</t>
        </is>
      </c>
      <c r="F13" s="10" t="inlineStr">
        <is>
          <t>Pendientes</t>
        </is>
      </c>
    </row>
    <row r="14">
      <c r="A14" s="11" t="inlineStr">
        <is>
          <t>Ingreso</t>
        </is>
      </c>
      <c r="B14" s="11">
        <f>COUNTIF(Seguimiento!$B$5:$B$44,A14)</f>
        <v/>
      </c>
      <c r="C14" s="11">
        <f>COUNTIFS(Seguimiento!$B$5:$B$44,$A14,Seguimiento!$H$5:$H$44,"Pasa")</f>
        <v/>
      </c>
      <c r="D14" s="11">
        <f>COUNTIFS(Seguimiento!$B$5:$B$44,$A14,Seguimiento!$H$5:$H$44,"Pasa (tras corrección)")</f>
        <v/>
      </c>
      <c r="E14" s="11">
        <f>COUNTIFS(Seguimiento!$B$5:$B$44,$A14,Seguimiento!$H$5:$H$44,"Falla")</f>
        <v/>
      </c>
      <c r="F14" s="11">
        <f>COUNTIFS(Seguimiento!$B$5:$B$44,$A14,Seguimiento!$H$5:$H$44,"Pendiente")</f>
        <v/>
      </c>
    </row>
    <row r="15">
      <c r="A15" s="11" t="inlineStr">
        <is>
          <t>Modificación</t>
        </is>
      </c>
      <c r="B15" s="11">
        <f>COUNTIF(Seguimiento!$B$5:$B$44,A15)</f>
        <v/>
      </c>
      <c r="C15" s="11">
        <f>COUNTIFS(Seguimiento!$B$5:$B$44,$A15,Seguimiento!$H$5:$H$44,"Pasa")</f>
        <v/>
      </c>
      <c r="D15" s="11">
        <f>COUNTIFS(Seguimiento!$B$5:$B$44,$A15,Seguimiento!$H$5:$H$44,"Pasa (tras corrección)")</f>
        <v/>
      </c>
      <c r="E15" s="11">
        <f>COUNTIFS(Seguimiento!$B$5:$B$44,$A15,Seguimiento!$H$5:$H$44,"Falla")</f>
        <v/>
      </c>
      <c r="F15" s="11">
        <f>COUNTIFS(Seguimiento!$B$5:$B$44,$A15,Seguimiento!$H$5:$H$44,"Pendiente")</f>
        <v/>
      </c>
    </row>
    <row r="16">
      <c r="A16" s="11" t="inlineStr">
        <is>
          <t>Bloqueo</t>
        </is>
      </c>
      <c r="B16" s="11">
        <f>COUNTIF(Seguimiento!$B$5:$B$44,A16)</f>
        <v/>
      </c>
      <c r="C16" s="11">
        <f>COUNTIFS(Seguimiento!$B$5:$B$44,$A16,Seguimiento!$H$5:$H$44,"Pasa")</f>
        <v/>
      </c>
      <c r="D16" s="11">
        <f>COUNTIFS(Seguimiento!$B$5:$B$44,$A16,Seguimiento!$H$5:$H$44,"Pasa (tras corrección)")</f>
        <v/>
      </c>
      <c r="E16" s="11">
        <f>COUNTIFS(Seguimiento!$B$5:$B$44,$A16,Seguimiento!$H$5:$H$44,"Falla")</f>
        <v/>
      </c>
      <c r="F16" s="11">
        <f>COUNTIFS(Seguimiento!$B$5:$B$44,$A16,Seguimiento!$H$5:$H$44,"Pendiente")</f>
        <v/>
      </c>
    </row>
    <row r="17">
      <c r="A17" s="11" t="inlineStr">
        <is>
          <t>VPN</t>
        </is>
      </c>
      <c r="B17" s="11">
        <f>COUNTIF(Seguimiento!$B$5:$B$44,A17)</f>
        <v/>
      </c>
      <c r="C17" s="11">
        <f>COUNTIFS(Seguimiento!$B$5:$B$44,$A17,Seguimiento!$H$5:$H$44,"Pasa")</f>
        <v/>
      </c>
      <c r="D17" s="11">
        <f>COUNTIFS(Seguimiento!$B$5:$B$44,$A17,Seguimiento!$H$5:$H$44,"Pasa (tras corrección)")</f>
        <v/>
      </c>
      <c r="E17" s="11">
        <f>COUNTIFS(Seguimiento!$B$5:$B$44,$A17,Seguimiento!$H$5:$H$44,"Falla")</f>
        <v/>
      </c>
      <c r="F17" s="11">
        <f>COUNTIFS(Seguimiento!$B$5:$B$44,$A17,Seguimiento!$H$5:$H$44,"Pendiente")</f>
        <v/>
      </c>
    </row>
    <row r="18">
      <c r="A18" s="11" t="inlineStr">
        <is>
          <t>Estados y cierre</t>
        </is>
      </c>
      <c r="B18" s="11">
        <f>COUNTIF(Seguimiento!$B$5:$B$44,A18)</f>
        <v/>
      </c>
      <c r="C18" s="11">
        <f>COUNTIFS(Seguimiento!$B$5:$B$44,$A18,Seguimiento!$H$5:$H$44,"Pasa")</f>
        <v/>
      </c>
      <c r="D18" s="11">
        <f>COUNTIFS(Seguimiento!$B$5:$B$44,$A18,Seguimiento!$H$5:$H$44,"Pasa (tras corrección)")</f>
        <v/>
      </c>
      <c r="E18" s="11">
        <f>COUNTIFS(Seguimiento!$B$5:$B$44,$A18,Seguimiento!$H$5:$H$44,"Falla")</f>
        <v/>
      </c>
      <c r="F18" s="11">
        <f>COUNTIFS(Seguimiento!$B$5:$B$44,$A18,Seguimiento!$H$5:$H$44,"Pendiente")</f>
        <v/>
      </c>
    </row>
    <row r="19">
      <c r="A19" s="11" t="inlineStr">
        <is>
          <t>Permisos y acceso</t>
        </is>
      </c>
      <c r="B19" s="11">
        <f>COUNTIF(Seguimiento!$B$5:$B$44,A19)</f>
        <v/>
      </c>
      <c r="C19" s="11">
        <f>COUNTIFS(Seguimiento!$B$5:$B$44,$A19,Seguimiento!$H$5:$H$44,"Pasa")</f>
        <v/>
      </c>
      <c r="D19" s="11">
        <f>COUNTIFS(Seguimiento!$B$5:$B$44,$A19,Seguimiento!$H$5:$H$44,"Pasa (tras corrección)")</f>
        <v/>
      </c>
      <c r="E19" s="11">
        <f>COUNTIFS(Seguimiento!$B$5:$B$44,$A19,Seguimiento!$H$5:$H$44,"Falla")</f>
        <v/>
      </c>
      <c r="F19" s="11">
        <f>COUNTIFS(Seguimiento!$B$5:$B$44,$A19,Seguimiento!$H$5:$H$44,"Pendiente")</f>
        <v/>
      </c>
    </row>
    <row r="20">
      <c r="A20" s="11" t="inlineStr">
        <is>
          <t>Catálogos, reportes e historial</t>
        </is>
      </c>
      <c r="B20" s="11">
        <f>COUNTIF(Seguimiento!$B$5:$B$44,A20)</f>
        <v/>
      </c>
      <c r="C20" s="11">
        <f>COUNTIFS(Seguimiento!$B$5:$B$44,$A20,Seguimiento!$H$5:$H$44,"Pasa")</f>
        <v/>
      </c>
      <c r="D20" s="11">
        <f>COUNTIFS(Seguimiento!$B$5:$B$44,$A20,Seguimiento!$H$5:$H$44,"Pasa (tras corrección)")</f>
        <v/>
      </c>
      <c r="E20" s="11">
        <f>COUNTIFS(Seguimiento!$B$5:$B$44,$A20,Seguimiento!$H$5:$H$44,"Falla")</f>
        <v/>
      </c>
      <c r="F20" s="11">
        <f>COUNTIFS(Seguimiento!$B$5:$B$44,$A20,Seguimiento!$H$5:$H$44,"Pendiente")</f>
        <v/>
      </c>
    </row>
    <row r="21">
      <c r="A21" s="12" t="inlineStr">
        <is>
          <t>Total</t>
        </is>
      </c>
      <c r="B21" s="12">
        <f>SUM(B14:B20)</f>
        <v/>
      </c>
      <c r="C21" s="12">
        <f>SUM(C14:C20)</f>
        <v/>
      </c>
      <c r="D21" s="12">
        <f>SUM(D14:D20)</f>
        <v/>
      </c>
      <c r="E21" s="12">
        <f>SUM(E14:E20)</f>
        <v/>
      </c>
      <c r="F21" s="12">
        <f>SUM(F14:F20)</f>
        <v/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8" customWidth="1" min="3" max="3"/>
    <col width="12" customWidth="1" min="4" max="4"/>
    <col width="40" customWidth="1" min="5" max="5"/>
  </cols>
  <sheetData>
    <row r="1">
      <c r="A1" s="1" t="inlineStr">
        <is>
          <t>Defectos documentados</t>
        </is>
      </c>
    </row>
    <row r="2" ht="32" customHeight="1">
      <c r="A2" s="13" t="inlineStr">
        <is>
          <t>Se listan los defectos referenciados en el Plan y Casos de Prueba y en los estados de avance. El registro completo de las 13 incidencias está en GitHub Issues.</t>
        </is>
      </c>
    </row>
    <row r="4">
      <c r="A4" s="14" t="inlineStr">
        <is>
          <t>ID</t>
        </is>
      </c>
      <c r="B4" s="14" t="inlineStr">
        <is>
          <t>Descripción</t>
        </is>
      </c>
      <c r="C4" s="14" t="inlineStr">
        <is>
          <t>Casos relacionados</t>
        </is>
      </c>
      <c r="D4" s="14" t="inlineStr">
        <is>
          <t>Estado</t>
        </is>
      </c>
      <c r="E4" s="14" t="inlineStr">
        <is>
          <t>Dependencia</t>
        </is>
      </c>
    </row>
    <row r="5">
      <c r="A5" s="5" t="inlineStr">
        <is>
          <t>D-01</t>
        </is>
      </c>
      <c r="B5" s="5" t="inlineStr">
        <is>
          <t>Faltaba el campo Fecha de incorporación en el formulario de Ingreso</t>
        </is>
      </c>
      <c r="C5" s="5" t="inlineStr">
        <is>
          <t>CP-01 a CP-10</t>
        </is>
      </c>
      <c r="D5" s="5" t="inlineStr">
        <is>
          <t>Cerrado</t>
        </is>
      </c>
      <c r="E5" s="5" t="inlineStr"/>
    </row>
    <row r="6">
      <c r="A6" s="5" t="inlineStr">
        <is>
          <t>D-04</t>
        </is>
      </c>
      <c r="B6" s="5" t="inlineStr">
        <is>
          <t>El historial registraba siempre al mismo usuario (creadoPorId fijo en el frontend); ahora el backend identifica al usuario según el rol</t>
        </is>
      </c>
      <c r="C6" s="5" t="inlineStr">
        <is>
          <t>CP-33</t>
        </is>
      </c>
      <c r="D6" s="5" t="inlineStr">
        <is>
          <t>Cerrado</t>
        </is>
      </c>
      <c r="E6" s="5" t="inlineStr">
        <is>
          <t>Temporal hasta el login con Active Directory (KB-02)</t>
        </is>
      </c>
    </row>
    <row r="7">
      <c r="A7" s="5" t="inlineStr">
        <is>
          <t>D-05</t>
        </is>
      </c>
      <c r="B7" s="5" t="inlineStr">
        <is>
          <t>Jefatura debía quedar limitada a los trabajadores de su propia área</t>
        </is>
      </c>
      <c r="C7" s="5" t="inlineStr">
        <is>
          <t>CP-29, CP-30</t>
        </is>
      </c>
      <c r="D7" s="5" t="inlineStr">
        <is>
          <t>Cerrado</t>
        </is>
      </c>
      <c r="E7" s="5" t="inlineStr"/>
    </row>
    <row r="8">
      <c r="A8" s="5" t="inlineStr">
        <is>
          <t>D-06</t>
        </is>
      </c>
      <c r="B8" s="5" t="inlineStr">
        <is>
          <t>Defecto abierto que depende del login real</t>
        </is>
      </c>
      <c r="C8" s="5" t="inlineStr">
        <is>
          <t>—</t>
        </is>
      </c>
      <c r="D8" s="5" t="inlineStr">
        <is>
          <t>Abierto</t>
        </is>
      </c>
      <c r="E8" s="5" t="inlineStr">
        <is>
          <t>Login con Active Directory (KB-02)</t>
        </is>
      </c>
    </row>
    <row r="9">
      <c r="A9" s="5" t="inlineStr">
        <is>
          <t>D-07</t>
        </is>
      </c>
      <c r="B9" s="5" t="inlineStr">
        <is>
          <t>Defecto abierto que depende de la carga de la dotación</t>
        </is>
      </c>
      <c r="C9" s="5" t="inlineStr">
        <is>
          <t>—</t>
        </is>
      </c>
      <c r="D9" s="5" t="inlineStr">
        <is>
          <t>Abierto</t>
        </is>
      </c>
      <c r="E9" s="5" t="inlineStr">
        <is>
          <t>Carga de la dotación</t>
        </is>
      </c>
    </row>
    <row r="10">
      <c r="A10" s="5" t="inlineStr">
        <is>
          <t>D-11</t>
        </is>
      </c>
      <c r="B10" s="5" t="inlineStr">
        <is>
          <t>Notificación a RRHH y SLA con días hábiles y feriados pendientes de definición con MAF</t>
        </is>
      </c>
      <c r="C10" s="5" t="inlineStr">
        <is>
          <t>CP-10</t>
        </is>
      </c>
      <c r="D10" s="5" t="inlineStr">
        <is>
          <t>Abierto</t>
        </is>
      </c>
      <c r="E10" s="5" t="inlineStr">
        <is>
          <t>Definición con MAF</t>
        </is>
      </c>
    </row>
  </sheetData>
  <mergeCells count="1">
    <mergeCell ref="A2:E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2026-10-20T17:43:59Z</dcterms:created>
  <dcterms:modified xmlns:dcterms="http://purl.org/dc/terms/" xmlns:xsi="http://www.w3.org/2001/XMLSchema-instance" xsi:type="dcterms:W3CDTF">2026-10-20T17:44:12Z</dcterms:modified>
</cp:coreProperties>
</file>